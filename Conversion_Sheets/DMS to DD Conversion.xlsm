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 Forumla Sheets\"/>
    </mc:Choice>
  </mc:AlternateContent>
  <xr:revisionPtr revIDLastSave="0" documentId="13_ncr:1_{15BE2654-C47A-45D7-8F8F-8F7E8B383C07}" xr6:coauthVersionLast="46" xr6:coauthVersionMax="46" xr10:uidLastSave="{00000000-0000-0000-0000-000000000000}"/>
  <bookViews>
    <workbookView xWindow="-120" yWindow="-120" windowWidth="38640" windowHeight="21240" xr2:uid="{C12050D7-E3DB-4150-BB9F-A4B96C44B039}"/>
  </bookViews>
  <sheets>
    <sheet name="additional_point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" l="1"/>
  <c r="H12" i="1"/>
  <c r="H11" i="1"/>
  <c r="H10" i="1"/>
  <c r="H9" i="1"/>
  <c r="H8" i="1"/>
  <c r="H7" i="1"/>
  <c r="H6" i="1"/>
  <c r="H5" i="1"/>
  <c r="H4" i="1"/>
  <c r="H3" i="1"/>
  <c r="H2" i="1"/>
  <c r="G3" i="1"/>
  <c r="G4" i="1"/>
  <c r="G5" i="1"/>
  <c r="G6" i="1"/>
  <c r="G7" i="1"/>
  <c r="G8" i="1"/>
  <c r="G9" i="1"/>
  <c r="G10" i="1"/>
  <c r="G11" i="1"/>
  <c r="G12" i="1"/>
  <c r="G13" i="1"/>
  <c r="G2" i="1"/>
  <c r="D4" i="1" a="1"/>
  <c r="D12" i="1" a="1"/>
  <c r="D8" i="1" a="1"/>
  <c r="D5" i="1" a="1"/>
  <c r="D7" i="1" a="1"/>
  <c r="D9" i="1" a="1"/>
  <c r="D13" i="1" a="1"/>
  <c r="D11" i="1" a="1"/>
  <c r="D6" i="1" a="1"/>
  <c r="D10" i="1" a="1"/>
  <c r="D3" i="1" a="1"/>
  <c r="D2" i="1" a="1"/>
  <c r="E4" i="1" a="1"/>
  <c r="E12" i="1" a="1"/>
  <c r="E9" i="1" a="1"/>
  <c r="E5" i="1" a="1"/>
  <c r="E7" i="1" a="1"/>
  <c r="E8" i="1" a="1"/>
  <c r="E10" i="1" a="1"/>
  <c r="E13" i="1" a="1"/>
  <c r="E6" i="1" a="1"/>
  <c r="E11" i="1" a="1"/>
  <c r="E3" i="1" a="1"/>
  <c r="E2" i="1" a="1"/>
  <c r="D10" i="1" l="1"/>
  <c r="D6" i="1"/>
  <c r="D11" i="1"/>
  <c r="D13" i="1"/>
  <c r="D9" i="1"/>
  <c r="D7" i="1"/>
  <c r="D5" i="1"/>
  <c r="D8" i="1"/>
  <c r="D12" i="1"/>
  <c r="D4" i="1"/>
  <c r="D3" i="1"/>
  <c r="D2" i="1"/>
  <c r="E11" i="1"/>
  <c r="E6" i="1"/>
  <c r="E13" i="1"/>
  <c r="E10" i="1"/>
  <c r="E8" i="1"/>
  <c r="E7" i="1"/>
  <c r="E5" i="1"/>
  <c r="E9" i="1"/>
  <c r="E12" i="1"/>
  <c r="E4" i="1"/>
  <c r="E3" i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<sst xmlns="http://schemas.openxmlformats.org/spreadsheetml/2006/main" count="38" uniqueCount="38">
  <si>
    <t>31°53'25.28"</t>
  </si>
  <si>
    <t>name</t>
  </si>
  <si>
    <t>103° 57' 44.35"</t>
  </si>
  <si>
    <t>104° 03' 32.90"</t>
  </si>
  <si>
    <t>104° 06' 31.80"</t>
  </si>
  <si>
    <t>104° 05' 09.57"</t>
  </si>
  <si>
    <t>103° 57' 09.24"</t>
  </si>
  <si>
    <t>103°51'39"</t>
  </si>
  <si>
    <t>103°42'3"</t>
  </si>
  <si>
    <t>103°40'57"</t>
  </si>
  <si>
    <t>103°42'58"</t>
  </si>
  <si>
    <t>103°50'20.06"</t>
  </si>
  <si>
    <t>103°56'36"</t>
  </si>
  <si>
    <t>103°42'42"</t>
  </si>
  <si>
    <t>31°38'38"</t>
  </si>
  <si>
    <t>31°40'22"</t>
  </si>
  <si>
    <t>31°40'18"</t>
  </si>
  <si>
    <t>31°42'18"</t>
  </si>
  <si>
    <t>31°38'35.11"</t>
  </si>
  <si>
    <t>31°37'54"</t>
  </si>
  <si>
    <t>31°42'26"</t>
  </si>
  <si>
    <t>31° 54' 11.17"</t>
  </si>
  <si>
    <t>31° 49' 19.41"</t>
  </si>
  <si>
    <t>31° 47' 26.25"</t>
  </si>
  <si>
    <t>31° 42' 22.59"</t>
  </si>
  <si>
    <t>How to Use</t>
  </si>
  <si>
    <t>Latitude_DD</t>
  </si>
  <si>
    <t>Longitude_DD</t>
  </si>
  <si>
    <t>Latitude_DMS</t>
  </si>
  <si>
    <t>Longitude_DMS</t>
  </si>
  <si>
    <r>
      <t>Format your coordinates, and paste them under their respective latitude and longitude fields (</t>
    </r>
    <r>
      <rPr>
        <b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egrees </t>
    </r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inutes </t>
    </r>
    <r>
      <rPr>
        <b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econds). Needs to be in this format: x°x'x"</t>
    </r>
  </si>
  <si>
    <t>First, enable the Developer tools in Excel. File &gt; Options (bottom of the left side) &gt; Customize Ribbon &gt; Developer</t>
  </si>
  <si>
    <t>Hard mode</t>
  </si>
  <si>
    <t>Easy mode</t>
  </si>
  <si>
    <r>
      <t xml:space="preserve">Formula </t>
    </r>
    <r>
      <rPr>
        <b/>
        <sz val="11"/>
        <color rgb="FF3F3F76"/>
        <rFont val="Calibri"/>
        <family val="2"/>
        <scheme val="minor"/>
      </rPr>
      <t>Without</t>
    </r>
    <r>
      <rPr>
        <sz val="11"/>
        <color rgb="FF3F3F76"/>
        <rFont val="Calibri"/>
        <family val="2"/>
        <scheme val="minor"/>
      </rPr>
      <t xml:space="preserve"> Cell Reference</t>
    </r>
  </si>
  <si>
    <r>
      <rPr>
        <sz val="11"/>
        <color rgb="FF3F3F76"/>
        <rFont val="Calibri"/>
        <family val="2"/>
        <scheme val="minor"/>
      </rPr>
      <t xml:space="preserve">Formula </t>
    </r>
    <r>
      <rPr>
        <b/>
        <sz val="11"/>
        <color rgb="FF3F3F76"/>
        <rFont val="Calibri"/>
        <family val="2"/>
        <scheme val="minor"/>
      </rPr>
      <t>With</t>
    </r>
    <r>
      <rPr>
        <sz val="11"/>
        <color rgb="FF3F3F76"/>
        <rFont val="Calibri"/>
        <family val="2"/>
        <scheme val="minor"/>
      </rPr>
      <t xml:space="preserve"> Cell Reference</t>
    </r>
  </si>
  <si>
    <r>
      <t xml:space="preserve">Use the formula provided in columns D and E to automagically convert your coodinates to </t>
    </r>
    <r>
      <rPr>
        <b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ecimal </t>
    </r>
    <r>
      <rPr>
        <b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egrees.</t>
    </r>
  </si>
  <si>
    <t>The module for the conversion function should already be saved in this sheet, so you shouldn't have to do anything else.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</si>
</sst>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22">
    <xf numFmtId="0" fontId="0" fillId="0" borderId="0" xfId="0"/>
    <xf numFmtId="0" fontId="0" fillId="0" borderId="0" xfId="0"/>
    <xf numFmtId="0" fontId="0" fillId="0" borderId="0" xfId="0" applyAlignment="1"/>
    <xf numFmtId="0" fontId="2" fillId="2" borderId="1" xfId="1" applyFont="1"/>
    <xf numFmtId="0" fontId="3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0" borderId="0" xfId="0" applyFont="1" applyAlignment="1">
      <alignment vertical="center" wrapText="1"/>
    </xf>
    <xf numFmtId="0" fontId="4" fillId="2" borderId="1" xfId="1" applyFont="1"/>
    <xf numFmtId="0" fontId="3" fillId="3" borderId="0" xfId="0" applyFont="1" applyFill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7A631-2A2A-4DD2-BC9D-A27BDBB17740}">
  <sheetPr codeName="Sheet1"/>
  <dimension ref="A1:I26"/>
  <sheetViews>
    <sheetView tabSelected="1" workbookViewId="0">
      <selection activeCell="F32" sqref="F32"/>
    </sheetView>
  </sheetViews>
  <sheetFormatPr defaultRowHeight="15" x14ac:dyDescent="0.25"/>
  <cols>
    <col min="1" max="1" width="13.42578125" bestFit="1" customWidth="1"/>
    <col min="2" max="2" width="15" bestFit="1" customWidth="1"/>
    <col min="3" max="3" width="27" bestFit="1" customWidth="1"/>
    <col min="4" max="4" width="12" bestFit="1" customWidth="1"/>
    <col min="5" max="5" width="13.5703125" style="1" bestFit="1" customWidth="1"/>
    <col min="6" max="6" width="12.7109375" style="1" customWidth="1"/>
    <col min="7" max="7" width="32.42578125" bestFit="1" customWidth="1"/>
    <col min="8" max="8" width="27" bestFit="1" customWidth="1"/>
  </cols>
  <sheetData>
    <row r="1" spans="1:9" x14ac:dyDescent="0.25">
      <c r="A1" t="s">
        <v>28</v>
      </c>
      <c r="B1" t="s">
        <v>29</v>
      </c>
      <c r="C1" t="s">
        <v>1</v>
      </c>
      <c r="D1" s="1" t="s">
        <v>26</v>
      </c>
      <c r="E1" s="1" t="s">
        <v>27</v>
      </c>
      <c r="G1" s="3" t="s">
        <v>34</v>
      </c>
      <c r="H1" s="7" t="s">
        <v>35</v>
      </c>
    </row>
    <row r="2" spans="1:9" x14ac:dyDescent="0.25">
      <c r="A2" t="s">
        <v>0</v>
      </c>
      <c r="B2" t="s">
        <v>2</v>
      </c>
      <c r="D2" s="1" cm="1">
        <f t="array" ref="D2">ConvertDecimal(A2)</f>
        <v>31.051466666666666</v>
      </c>
      <c r="E2" s="1" cm="1">
        <f t="array" ref="E2">ConvertDecimal(B2)*-1</f>
        <v>-103.96231944444445</v>
      </c>
      <c r="G2" s="3" t="str">
        <f>"=ConvertDecimal("""&amp;B2&amp;""""")"</f>
        <v>=ConvertDecimal("103° 57' 44.35""")</v>
      </c>
      <c r="H2" s="3" t="str">
        <f>"=ConvertDecimal(B2)"</f>
        <v>=ConvertDecimal(B2)</v>
      </c>
    </row>
    <row r="3" spans="1:9" x14ac:dyDescent="0.25">
      <c r="A3" t="s">
        <v>21</v>
      </c>
      <c r="B3" t="s">
        <v>6</v>
      </c>
      <c r="D3" s="1" cm="1">
        <f t="array" ref="D3">ConvertDecimal(A3)</f>
        <v>31.903102777777779</v>
      </c>
      <c r="E3" s="1" cm="1">
        <f t="array" ref="E3">ConvertDecimal(B3)*-1</f>
        <v>-103.95256666666667</v>
      </c>
      <c r="G3" s="3" t="str">
        <f t="shared" ref="G3:G13" si="0">"=ConvertDecimal("""&amp;B3&amp;""""")"</f>
        <v>=ConvertDecimal("103° 57' 09.24""")</v>
      </c>
      <c r="H3" s="3" t="str">
        <f>"=ConvertDecimal(B3)"</f>
        <v>=ConvertDecimal(B3)</v>
      </c>
    </row>
    <row r="4" spans="1:9" x14ac:dyDescent="0.25">
      <c r="A4" t="s">
        <v>22</v>
      </c>
      <c r="B4" t="s">
        <v>3</v>
      </c>
      <c r="D4" s="1" cm="1">
        <f t="array" ref="D4">ConvertDecimal(A4)</f>
        <v>31.822058333333334</v>
      </c>
      <c r="E4" s="1" cm="1">
        <f t="array" ref="E4">ConvertDecimal(B4)*-1</f>
        <v>-104.0591388888889</v>
      </c>
      <c r="G4" s="3" t="str">
        <f t="shared" si="0"/>
        <v>=ConvertDecimal("104° 03' 32.90""")</v>
      </c>
      <c r="H4" s="3" t="str">
        <f>"=ConvertDecimal(B4)"</f>
        <v>=ConvertDecimal(B4)</v>
      </c>
    </row>
    <row r="5" spans="1:9" x14ac:dyDescent="0.25">
      <c r="A5" t="s">
        <v>23</v>
      </c>
      <c r="B5" t="s">
        <v>4</v>
      </c>
      <c r="D5" s="1" cm="1">
        <f t="array" ref="D5">ConvertDecimal(A5)</f>
        <v>31.790624999999999</v>
      </c>
      <c r="E5" s="1" cm="1">
        <f t="array" ref="E5">ConvertDecimal(B5)*-1</f>
        <v>-104.10883333333334</v>
      </c>
      <c r="G5" s="3" t="str">
        <f t="shared" si="0"/>
        <v>=ConvertDecimal("104° 06' 31.80""")</v>
      </c>
      <c r="H5" s="3" t="str">
        <f>"=ConvertDecimal(B5)"</f>
        <v>=ConvertDecimal(B5)</v>
      </c>
    </row>
    <row r="6" spans="1:9" x14ac:dyDescent="0.25">
      <c r="A6" s="1" t="s">
        <v>24</v>
      </c>
      <c r="B6" s="1" t="s">
        <v>5</v>
      </c>
      <c r="D6" s="1" cm="1">
        <f t="array" ref="D6">ConvertDecimal(A6)</f>
        <v>31.706275000000002</v>
      </c>
      <c r="E6" s="1" cm="1">
        <f t="array" ref="E6">ConvertDecimal(B6)*-1</f>
        <v>-104.08599166666667</v>
      </c>
      <c r="G6" s="3" t="str">
        <f t="shared" si="0"/>
        <v>=ConvertDecimal("104° 05' 09.57""")</v>
      </c>
      <c r="H6" s="3" t="str">
        <f>"=ConvertDecimal(B6)"</f>
        <v>=ConvertDecimal(B6)</v>
      </c>
    </row>
    <row r="7" spans="1:9" x14ac:dyDescent="0.25">
      <c r="A7" s="1" t="s">
        <v>14</v>
      </c>
      <c r="B7" s="1" t="s">
        <v>7</v>
      </c>
      <c r="C7" s="1"/>
      <c r="D7" s="1" cm="1">
        <f t="array" ref="D7">ConvertDecimal(A7)</f>
        <v>31.135555555555555</v>
      </c>
      <c r="E7" s="1" cm="1">
        <f t="array" ref="E7">ConvertDecimal(B7)*-1</f>
        <v>-103.01916666666666</v>
      </c>
      <c r="G7" s="3" t="str">
        <f t="shared" si="0"/>
        <v>=ConvertDecimal("103°51'39""")</v>
      </c>
      <c r="H7" s="3" t="str">
        <f>"=ConvertDecimal(B7)"</f>
        <v>=ConvertDecimal(B7)</v>
      </c>
    </row>
    <row r="8" spans="1:9" x14ac:dyDescent="0.25">
      <c r="A8" s="1" t="s">
        <v>15</v>
      </c>
      <c r="B8" s="1" t="s">
        <v>8</v>
      </c>
      <c r="C8" s="1"/>
      <c r="D8" s="1" cm="1">
        <f t="array" ref="D8">ConvertDecimal(A8)</f>
        <v>31.000555555555554</v>
      </c>
      <c r="E8" s="1" cm="1">
        <f t="array" ref="E8">ConvertDecimal(B8)*-1</f>
        <v>-103.03333333333333</v>
      </c>
      <c r="G8" s="3" t="str">
        <f t="shared" si="0"/>
        <v>=ConvertDecimal("103°42'3""")</v>
      </c>
      <c r="H8" s="3" t="str">
        <f>"=ConvertDecimal(B8)"</f>
        <v>=ConvertDecimal(B8)</v>
      </c>
    </row>
    <row r="9" spans="1:9" x14ac:dyDescent="0.25">
      <c r="A9" s="1" t="s">
        <v>16</v>
      </c>
      <c r="B9" s="1" t="s">
        <v>9</v>
      </c>
      <c r="C9" s="1"/>
      <c r="D9" s="1" cm="1">
        <f t="array" ref="D9">ConvertDecimal(A9)</f>
        <v>31.002222222222223</v>
      </c>
      <c r="E9" s="1" cm="1">
        <f t="array" ref="E9">ConvertDecimal(B9)*-1</f>
        <v>-103.00194444444445</v>
      </c>
      <c r="G9" s="3" t="str">
        <f t="shared" si="0"/>
        <v>=ConvertDecimal("103°40'57""")</v>
      </c>
      <c r="H9" s="3" t="str">
        <f>"=ConvertDecimal(B9)"</f>
        <v>=ConvertDecimal(B9)</v>
      </c>
    </row>
    <row r="10" spans="1:9" x14ac:dyDescent="0.25">
      <c r="A10" s="1" t="s">
        <v>17</v>
      </c>
      <c r="B10" s="1" t="s">
        <v>10</v>
      </c>
      <c r="C10" s="1"/>
      <c r="D10" s="1" cm="1">
        <f t="array" ref="D10">ConvertDecimal(A10)</f>
        <v>31.035555555555554</v>
      </c>
      <c r="E10" s="1" cm="1">
        <f t="array" ref="E10">ConvertDecimal(B10)*-1</f>
        <v>-103.03555555555556</v>
      </c>
      <c r="G10" s="3" t="str">
        <f t="shared" si="0"/>
        <v>=ConvertDecimal("103°42'58""")</v>
      </c>
      <c r="H10" s="3" t="str">
        <f>"=ConvertDecimal(B10)"</f>
        <v>=ConvertDecimal(B10)</v>
      </c>
    </row>
    <row r="11" spans="1:9" x14ac:dyDescent="0.25">
      <c r="A11" s="1" t="s">
        <v>18</v>
      </c>
      <c r="B11" s="1" t="s">
        <v>11</v>
      </c>
      <c r="C11" s="1"/>
      <c r="D11" s="1" cm="1">
        <f t="array" ref="D11">ConvertDecimal(A11)</f>
        <v>31.134752777777777</v>
      </c>
      <c r="E11" s="1" cm="1">
        <f t="array" ref="E11">ConvertDecimal(B11)*-1</f>
        <v>-103.00001666666667</v>
      </c>
      <c r="G11" s="3" t="str">
        <f t="shared" si="0"/>
        <v>=ConvertDecimal("103°50'20.06""")</v>
      </c>
      <c r="H11" s="3" t="str">
        <f>"=ConvertDecimal(B11)"</f>
        <v>=ConvertDecimal(B11)</v>
      </c>
    </row>
    <row r="12" spans="1:9" x14ac:dyDescent="0.25">
      <c r="A12" s="1" t="s">
        <v>19</v>
      </c>
      <c r="B12" s="1" t="s">
        <v>12</v>
      </c>
      <c r="C12" s="1"/>
      <c r="D12" s="1" cm="1">
        <f t="array" ref="D12">ConvertDecimal(A12)</f>
        <v>31.117777777777778</v>
      </c>
      <c r="E12" s="1" cm="1">
        <f t="array" ref="E12">ConvertDecimal(B12)*-1</f>
        <v>-103.10166666666667</v>
      </c>
      <c r="G12" s="3" t="str">
        <f t="shared" si="0"/>
        <v>=ConvertDecimal("103°56'36""")</v>
      </c>
      <c r="H12" s="3" t="str">
        <f>"=ConvertDecimal(B12)"</f>
        <v>=ConvertDecimal(B12)</v>
      </c>
      <c r="I12" s="1"/>
    </row>
    <row r="13" spans="1:9" x14ac:dyDescent="0.25">
      <c r="A13" s="1" t="s">
        <v>20</v>
      </c>
      <c r="B13" s="1" t="s">
        <v>13</v>
      </c>
      <c r="C13" s="1"/>
      <c r="D13" s="1" cm="1">
        <f t="array" ref="D13">ConvertDecimal(A13)</f>
        <v>31.035</v>
      </c>
      <c r="E13" s="1" cm="1">
        <f t="array" ref="E13">ConvertDecimal(B13)*-1</f>
        <v>-103.0338888888889</v>
      </c>
      <c r="G13" s="3" t="str">
        <f t="shared" si="0"/>
        <v>=ConvertDecimal("103°42'42""")</v>
      </c>
      <c r="H13" s="3" t="str">
        <f>"=ConvertDecimal(B13)"</f>
        <v>=ConvertDecimal(B13)</v>
      </c>
    </row>
    <row r="14" spans="1:9" x14ac:dyDescent="0.25">
      <c r="D14" s="1"/>
      <c r="G14" t="s">
        <v>32</v>
      </c>
      <c r="H14" t="s">
        <v>33</v>
      </c>
    </row>
    <row r="18" spans="1:8" ht="15.75" thickBot="1" x14ac:dyDescent="0.3"/>
    <row r="19" spans="1:8" x14ac:dyDescent="0.25">
      <c r="B19" s="4"/>
      <c r="C19" s="11" t="s">
        <v>25</v>
      </c>
      <c r="D19" s="12"/>
      <c r="E19" s="12"/>
      <c r="F19" s="13"/>
      <c r="G19" s="4"/>
      <c r="H19" s="4"/>
    </row>
    <row r="20" spans="1:8" s="5" customFormat="1" ht="34.5" customHeight="1" x14ac:dyDescent="0.25">
      <c r="B20" s="6"/>
      <c r="C20" s="14" t="s">
        <v>31</v>
      </c>
      <c r="D20" s="9"/>
      <c r="E20" s="9"/>
      <c r="F20" s="15"/>
    </row>
    <row r="21" spans="1:8" ht="15" customHeight="1" x14ac:dyDescent="0.25">
      <c r="B21" s="2"/>
      <c r="C21" s="16" t="s">
        <v>30</v>
      </c>
      <c r="D21" s="10"/>
      <c r="E21" s="10"/>
      <c r="F21" s="17"/>
      <c r="G21" s="2"/>
      <c r="H21" s="2"/>
    </row>
    <row r="22" spans="1:8" x14ac:dyDescent="0.25">
      <c r="A22" s="2"/>
      <c r="B22" s="2"/>
      <c r="C22" s="16"/>
      <c r="D22" s="10"/>
      <c r="E22" s="10"/>
      <c r="F22" s="17"/>
      <c r="G22" s="2"/>
      <c r="H22" s="2"/>
    </row>
    <row r="23" spans="1:8" ht="26.25" customHeight="1" x14ac:dyDescent="0.25">
      <c r="C23" s="16"/>
      <c r="D23" s="10"/>
      <c r="E23" s="10"/>
      <c r="F23" s="17"/>
    </row>
    <row r="24" spans="1:8" ht="36.75" customHeight="1" thickBot="1" x14ac:dyDescent="0.3">
      <c r="C24" s="18" t="s">
        <v>36</v>
      </c>
      <c r="D24" s="19"/>
      <c r="E24" s="19"/>
      <c r="F24" s="20"/>
    </row>
    <row r="25" spans="1:8" ht="15" customHeight="1" x14ac:dyDescent="0.25">
      <c r="C25" s="21" t="s">
        <v>37</v>
      </c>
      <c r="D25" s="21"/>
      <c r="E25" s="21"/>
      <c r="F25" s="21"/>
    </row>
    <row r="26" spans="1:8" x14ac:dyDescent="0.25">
      <c r="C26" s="8"/>
      <c r="D26" s="8"/>
      <c r="E26" s="8"/>
      <c r="F26" s="8"/>
    </row>
  </sheetData>
  <mergeCells count="5">
    <mergeCell ref="C24:F24"/>
    <mergeCell ref="C25:F26"/>
    <mergeCell ref="C19:F19"/>
    <mergeCell ref="C20:F20"/>
    <mergeCell ref="C21:F2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additional_points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Ruab Nalukataq</dc:creator>
  <cp:lastModifiedBy>Ruab Nalukataq</cp:lastModifiedBy>
  <dcterms:created xsi:type="dcterms:W3CDTF">2021-02-18T19:55:36Z</dcterms:created>
  <dcterms:modified xsi:type="dcterms:W3CDTF">2021-03-27T01:15:48Z</dcterms:modified>
</cp:coreProperties>
</file>